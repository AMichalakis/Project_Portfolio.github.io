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zen\Desktop\"/>
    </mc:Choice>
  </mc:AlternateContent>
  <xr:revisionPtr revIDLastSave="0" documentId="13_ncr:1_{AA224195-81F4-4F7B-8543-ECF8578DC5D2}" xr6:coauthVersionLast="47" xr6:coauthVersionMax="47" xr10:uidLastSave="{00000000-0000-0000-0000-000000000000}"/>
  <bookViews>
    <workbookView xWindow="3615" yWindow="0" windowWidth="21915" windowHeight="20745" activeTab="1" xr2:uid="{00000000-000D-0000-FFFF-FFFF00000000}"/>
  </bookViews>
  <sheets>
    <sheet name="Data" sheetId="1" r:id="rId1"/>
    <sheet name="REPORTING" sheetId="3" r:id="rId2"/>
  </sheets>
  <calcPr calcId="181029"/>
  <pivotCaches>
    <pivotCache cacheId="0" r:id="rId3"/>
  </pivotCaches>
</workbook>
</file>

<file path=xl/calcChain.xml><?xml version="1.0" encoding="utf-8"?>
<calcChain xmlns="http://schemas.openxmlformats.org/spreadsheetml/2006/main">
  <c r="D20" i="3" l="1"/>
  <c r="D19" i="3"/>
  <c r="D18" i="3"/>
  <c r="C20" i="3"/>
  <c r="C19" i="3"/>
  <c r="C18" i="3"/>
  <c r="B20" i="3"/>
  <c r="B19" i="3"/>
  <c r="B18" i="3"/>
  <c r="C15" i="3"/>
  <c r="C14" i="3"/>
  <c r="C13" i="3"/>
  <c r="B15" i="3"/>
  <c r="B14" i="3"/>
  <c r="B13" i="3"/>
</calcChain>
</file>

<file path=xl/sharedStrings.xml><?xml version="1.0" encoding="utf-8"?>
<sst xmlns="http://schemas.openxmlformats.org/spreadsheetml/2006/main" count="164" uniqueCount="43">
  <si>
    <t>Date</t>
  </si>
  <si>
    <t>Week</t>
  </si>
  <si>
    <t>Channel</t>
  </si>
  <si>
    <t>Spend</t>
  </si>
  <si>
    <t>Leads</t>
  </si>
  <si>
    <t>2025-12-29</t>
  </si>
  <si>
    <t>W1</t>
  </si>
  <si>
    <t>Meta</t>
  </si>
  <si>
    <t>Google Search</t>
  </si>
  <si>
    <t>TikTok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</si>
  <si>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</si>
  <si>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</si>
  <si>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</si>
  <si>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</si>
  <si>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</si>
  <si>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</si>
  <si>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</si>
  <si>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W2</t>
  </si>
  <si>
    <t>2026-01-06</t>
  </si>
  <si>
    <t>2026-01-07</t>
  </si>
  <si>
    <t>2026-01-08</t>
  </si>
  <si>
    <t>2026-01-09</t>
  </si>
  <si>
    <t>2026-01-10</t>
  </si>
  <si>
    <t>2026-01-11</t>
  </si>
  <si>
    <t>Row Labels</t>
  </si>
  <si>
    <t>Grand Total</t>
  </si>
  <si>
    <t>Column Labels</t>
  </si>
  <si>
    <t>Sum of Spend</t>
  </si>
  <si>
    <t>Total Sum of Spend</t>
  </si>
  <si>
    <t>Total Sum of Leads</t>
  </si>
  <si>
    <t>Sum of Leads</t>
  </si>
  <si>
    <t>CPL W1</t>
  </si>
  <si>
    <t>CPL W2</t>
  </si>
  <si>
    <t>Spend WoW</t>
  </si>
  <si>
    <t>Leads WoW</t>
  </si>
  <si>
    <t>CPL WoW</t>
  </si>
  <si>
    <t>Labels</t>
  </si>
  <si>
    <t>Positive Results</t>
  </si>
  <si>
    <t>Matter of Attention</t>
  </si>
  <si>
    <t>Meta significantly improved its performance:</t>
  </si>
  <si>
    <t>28% increase of Leads with +4% Spend driving to -19% CPL WoW</t>
  </si>
  <si>
    <t>TikTok increased its Spend (+19%) without matching to Leads increase</t>
  </si>
  <si>
    <t>This led to CPL charge (+21%) and further monitoring is 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</si>
</sst>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0.0%;\-0.0%;0.0%"/>
    <numFmt numFmtId="165" formatCode="\+0.0%;"/>
    <numFmt numFmtId="166" formatCode="\+0%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1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theme="4" tint="0.79998168889431442"/>
        <bgColor theme="4" tint="0.799981688894314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2" fillId="3" borderId="0" xfId="0" applyFont="1" applyFill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2" fontId="0" fillId="0" borderId="0" xfId="0" applyNumberFormat="1"/>
    <xf numFmtId="167" fontId="0" fillId="0" borderId="0" xfId="0" applyNumberFormat="1"/>
    <xf numFmtId="166" fontId="0" fillId="0" borderId="0" xfId="0" applyNumberForma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yzen" refreshedDate="46037.886843865737" createdVersion="8" refreshedVersion="8" minRefreshableVersion="3" recordCount="42" xr:uid="{AEF77E34-A9D0-46D2-AE74-0D932F0F858A}">
  <cacheSource type="worksheet">
    <worksheetSource name="MicroTestData"/>
  </cacheSource>
  <cacheFields count="5">
    <cacheField name="Date" numFmtId="0">
      <sharedItems count="14">
        <s v="2025-12-29"/>
        <s v="2025-12-30"/>
        <s v="2025-12-31"/>
        <s v="2026-01-01"/>
        <s v="2026-01-02"/>
        <s v="2026-01-03"/>
        <s v="2026-01-04"/>
        <s v="2026-01-05"/>
        <s v="2026-01-06"/>
        <s v="2026-01-07"/>
        <s v="2026-01-08"/>
        <s v="2026-01-09"/>
        <s v="2026-01-10"/>
        <s v="2026-01-11"/>
      </sharedItems>
    </cacheField>
    <cacheField name="Week" numFmtId="0">
      <sharedItems count="2">
        <s v="W1"/>
        <s v="W2"/>
      </sharedItems>
    </cacheField>
    <cacheField name="Channel" numFmtId="0">
      <sharedItems count="3">
        <s v="Meta"/>
        <s v="Google Search"/>
        <s v="TikTok"/>
      </sharedItems>
    </cacheField>
    <cacheField name="Spend" numFmtId="0">
      <sharedItems containsSemiMixedTypes="0" containsString="0" containsNumber="1" minValue="60.44" maxValue="159.01"/>
    </cacheField>
    <cacheField name="Leads" numFmtId="0">
      <sharedItems containsSemiMixedTypes="0" containsString="0" containsNumber="1" containsInteger="1" minValue="5" maxValue="1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x v="0"/>
    <x v="0"/>
    <x v="0"/>
    <n v="112.35"/>
    <n v="9"/>
  </r>
  <r>
    <x v="0"/>
    <x v="0"/>
    <x v="1"/>
    <n v="157.88"/>
    <n v="10"/>
  </r>
  <r>
    <x v="0"/>
    <x v="0"/>
    <x v="2"/>
    <n v="60.44"/>
    <n v="5"/>
  </r>
  <r>
    <x v="1"/>
    <x v="0"/>
    <x v="0"/>
    <n v="110.98"/>
    <n v="10"/>
  </r>
  <r>
    <x v="1"/>
    <x v="0"/>
    <x v="1"/>
    <n v="149.82"/>
    <n v="8"/>
  </r>
  <r>
    <x v="1"/>
    <x v="0"/>
    <x v="2"/>
    <n v="74.31"/>
    <n v="7"/>
  </r>
  <r>
    <x v="2"/>
    <x v="0"/>
    <x v="0"/>
    <n v="110.51"/>
    <n v="12"/>
  </r>
  <r>
    <x v="2"/>
    <x v="0"/>
    <x v="1"/>
    <n v="154.91"/>
    <n v="8"/>
  </r>
  <r>
    <x v="2"/>
    <x v="0"/>
    <x v="2"/>
    <n v="71.81"/>
    <n v="6"/>
  </r>
  <r>
    <x v="3"/>
    <x v="0"/>
    <x v="0"/>
    <n v="116.76"/>
    <n v="10"/>
  </r>
  <r>
    <x v="3"/>
    <x v="0"/>
    <x v="1"/>
    <n v="148.06"/>
    <n v="8"/>
  </r>
  <r>
    <x v="3"/>
    <x v="0"/>
    <x v="2"/>
    <n v="75.989999999999995"/>
    <n v="6"/>
  </r>
  <r>
    <x v="4"/>
    <x v="0"/>
    <x v="0"/>
    <n v="106.7"/>
    <n v="10"/>
  </r>
  <r>
    <x v="4"/>
    <x v="0"/>
    <x v="1"/>
    <n v="155.59"/>
    <n v="9"/>
  </r>
  <r>
    <x v="4"/>
    <x v="0"/>
    <x v="2"/>
    <n v="72.02"/>
    <n v="7"/>
  </r>
  <r>
    <x v="5"/>
    <x v="0"/>
    <x v="0"/>
    <n v="115.49"/>
    <n v="9"/>
  </r>
  <r>
    <x v="5"/>
    <x v="0"/>
    <x v="1"/>
    <n v="129.62"/>
    <n v="7"/>
  </r>
  <r>
    <x v="5"/>
    <x v="0"/>
    <x v="2"/>
    <n v="66.02"/>
    <n v="7"/>
  </r>
  <r>
    <x v="6"/>
    <x v="0"/>
    <x v="0"/>
    <n v="98.12"/>
    <n v="8"/>
  </r>
  <r>
    <x v="6"/>
    <x v="0"/>
    <x v="1"/>
    <n v="126.34"/>
    <n v="9"/>
  </r>
  <r>
    <x v="6"/>
    <x v="0"/>
    <x v="2"/>
    <n v="66.64"/>
    <n v="6"/>
  </r>
  <r>
    <x v="7"/>
    <x v="1"/>
    <x v="0"/>
    <n v="115.36"/>
    <n v="14"/>
  </r>
  <r>
    <x v="7"/>
    <x v="1"/>
    <x v="1"/>
    <n v="151.22999999999999"/>
    <n v="7"/>
  </r>
  <r>
    <x v="7"/>
    <x v="1"/>
    <x v="2"/>
    <n v="92.84"/>
    <n v="7"/>
  </r>
  <r>
    <x v="8"/>
    <x v="1"/>
    <x v="0"/>
    <n v="126.75"/>
    <n v="13"/>
  </r>
  <r>
    <x v="8"/>
    <x v="1"/>
    <x v="1"/>
    <n v="153.04"/>
    <n v="8"/>
  </r>
  <r>
    <x v="8"/>
    <x v="1"/>
    <x v="2"/>
    <n v="78.569999999999993"/>
    <n v="6"/>
  </r>
  <r>
    <x v="9"/>
    <x v="1"/>
    <x v="0"/>
    <n v="117.02"/>
    <n v="12"/>
  </r>
  <r>
    <x v="9"/>
    <x v="1"/>
    <x v="1"/>
    <n v="147.11000000000001"/>
    <n v="9"/>
  </r>
  <r>
    <x v="9"/>
    <x v="1"/>
    <x v="2"/>
    <n v="82.2"/>
    <n v="7"/>
  </r>
  <r>
    <x v="10"/>
    <x v="1"/>
    <x v="0"/>
    <n v="106.75"/>
    <n v="12"/>
  </r>
  <r>
    <x v="10"/>
    <x v="1"/>
    <x v="1"/>
    <n v="151.71"/>
    <n v="8"/>
  </r>
  <r>
    <x v="10"/>
    <x v="1"/>
    <x v="2"/>
    <n v="91.86"/>
    <n v="7"/>
  </r>
  <r>
    <x v="11"/>
    <x v="1"/>
    <x v="0"/>
    <n v="118.05"/>
    <n v="12"/>
  </r>
  <r>
    <x v="11"/>
    <x v="1"/>
    <x v="1"/>
    <n v="159.01"/>
    <n v="7"/>
  </r>
  <r>
    <x v="11"/>
    <x v="1"/>
    <x v="2"/>
    <n v="79.69"/>
    <n v="5"/>
  </r>
  <r>
    <x v="12"/>
    <x v="1"/>
    <x v="0"/>
    <n v="101.11"/>
    <n v="13"/>
  </r>
  <r>
    <x v="12"/>
    <x v="1"/>
    <x v="1"/>
    <n v="136.5"/>
    <n v="7"/>
  </r>
  <r>
    <x v="12"/>
    <x v="1"/>
    <x v="2"/>
    <n v="76.13"/>
    <n v="6"/>
  </r>
  <r>
    <x v="13"/>
    <x v="1"/>
    <x v="0"/>
    <n v="114.2"/>
    <n v="11"/>
  </r>
  <r>
    <x v="13"/>
    <x v="1"/>
    <x v="1"/>
    <n v="139.80000000000001"/>
    <n v="6"/>
  </r>
  <r>
    <x v="13"/>
    <x v="1"/>
    <x v="2"/>
    <n v="76.5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E40F73-0861-428A-B76D-EA3001EBC16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G9" firstHeaderRow="1" firstDataRow="3" firstDataCol="1"/>
  <pivotFields count="5"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3">
        <item x="0"/>
        <item x="1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2">
    <field x="1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Sum of Spend" fld="3" baseField="0" baseItem="0"/>
    <dataField name="Sum of Lead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icroTestData" displayName="MicroTestData" ref="A1:E43">
  <autoFilter ref="A1:E43" xr:uid="{00000000-0009-0000-0100-000001000000}"/>
  <tableColumns count="5">
    <tableColumn id="1" xr3:uid="{00000000-0010-0000-0000-000001000000}" name="Date"/>
    <tableColumn id="2" xr3:uid="{00000000-0010-0000-0000-000002000000}" name="Week"/>
    <tableColumn id="3" xr3:uid="{00000000-0010-0000-0000-000003000000}" name="Channel"/>
    <tableColumn id="4" xr3:uid="{00000000-0010-0000-0000-000004000000}" name="Spend"/>
    <tableColumn id="5" xr3:uid="{00000000-0010-0000-0000-000005000000}" name="Lead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selection activeCell="G27" sqref="G27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13.7109375" bestFit="1" customWidth="1"/>
    <col min="4" max="4" width="11.140625" bestFit="1" customWidth="1"/>
    <col min="5" max="5" width="10.5703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112.35</v>
      </c>
      <c r="E2">
        <v>9</v>
      </c>
    </row>
    <row r="3" spans="1:5" x14ac:dyDescent="0.25">
      <c r="A3" t="s">
        <v>5</v>
      </c>
      <c r="B3" t="s">
        <v>6</v>
      </c>
      <c r="C3" t="s">
        <v>8</v>
      </c>
      <c r="D3">
        <v>157.88</v>
      </c>
      <c r="E3">
        <v>10</v>
      </c>
    </row>
    <row r="4" spans="1:5" x14ac:dyDescent="0.25">
      <c r="A4" t="s">
        <v>5</v>
      </c>
      <c r="B4" t="s">
        <v>6</v>
      </c>
      <c r="C4" t="s">
        <v>9</v>
      </c>
      <c r="D4">
        <v>60.44</v>
      </c>
      <c r="E4">
        <v>5</v>
      </c>
    </row>
    <row r="5" spans="1:5" x14ac:dyDescent="0.25">
      <c r="A5" t="s">
        <v>10</v>
      </c>
      <c r="B5" t="s">
        <v>6</v>
      </c>
      <c r="C5" t="s">
        <v>7</v>
      </c>
      <c r="D5">
        <v>110.98</v>
      </c>
      <c r="E5">
        <v>10</v>
      </c>
    </row>
    <row r="6" spans="1:5" x14ac:dyDescent="0.25">
      <c r="A6" t="s">
        <v>10</v>
      </c>
      <c r="B6" t="s">
        <v>6</v>
      </c>
      <c r="C6" t="s">
        <v>8</v>
      </c>
      <c r="D6">
        <v>149.82</v>
      </c>
      <c r="E6">
        <v>8</v>
      </c>
    </row>
    <row r="7" spans="1:5" x14ac:dyDescent="0.25">
      <c r="A7" t="s">
        <v>10</v>
      </c>
      <c r="B7" t="s">
        <v>6</v>
      </c>
      <c r="C7" t="s">
        <v>9</v>
      </c>
      <c r="D7">
        <v>74.31</v>
      </c>
      <c r="E7">
        <v>7</v>
      </c>
    </row>
    <row r="8" spans="1:5" x14ac:dyDescent="0.25">
      <c r="A8" t="s">
        <v>11</v>
      </c>
      <c r="B8" t="s">
        <v>6</v>
      </c>
      <c r="C8" t="s">
        <v>7</v>
      </c>
      <c r="D8">
        <v>110.51</v>
      </c>
      <c r="E8">
        <v>12</v>
      </c>
    </row>
    <row r="9" spans="1:5" x14ac:dyDescent="0.25">
      <c r="A9" t="s">
        <v>11</v>
      </c>
      <c r="B9" t="s">
        <v>6</v>
      </c>
      <c r="C9" t="s">
        <v>8</v>
      </c>
      <c r="D9">
        <v>154.91</v>
      </c>
      <c r="E9">
        <v>8</v>
      </c>
    </row>
    <row r="10" spans="1:5" x14ac:dyDescent="0.25">
      <c r="A10" t="s">
        <v>11</v>
      </c>
      <c r="B10" t="s">
        <v>6</v>
      </c>
      <c r="C10" t="s">
        <v>9</v>
      </c>
      <c r="D10">
        <v>71.81</v>
      </c>
      <c r="E10">
        <v>6</v>
      </c>
    </row>
    <row r="11" spans="1:5" x14ac:dyDescent="0.25">
      <c r="A11" t="s">
        <v>12</v>
      </c>
      <c r="B11" t="s">
        <v>6</v>
      </c>
      <c r="C11" t="s">
        <v>7</v>
      </c>
      <c r="D11">
        <v>116.76</v>
      </c>
      <c r="E11">
        <v>10</v>
      </c>
    </row>
    <row r="12" spans="1:5" x14ac:dyDescent="0.25">
      <c r="A12" t="s">
        <v>12</v>
      </c>
      <c r="B12" t="s">
        <v>6</v>
      </c>
      <c r="C12" t="s">
        <v>8</v>
      </c>
      <c r="D12">
        <v>148.06</v>
      </c>
      <c r="E12">
        <v>8</v>
      </c>
    </row>
    <row r="13" spans="1:5" x14ac:dyDescent="0.25">
      <c r="A13" t="s">
        <v>12</v>
      </c>
      <c r="B13" t="s">
        <v>6</v>
      </c>
      <c r="C13" t="s">
        <v>9</v>
      </c>
      <c r="D13">
        <v>75.989999999999995</v>
      </c>
      <c r="E13">
        <v>6</v>
      </c>
    </row>
    <row r="14" spans="1:5" x14ac:dyDescent="0.25">
      <c r="A14" t="s">
        <v>13</v>
      </c>
      <c r="B14" t="s">
        <v>6</v>
      </c>
      <c r="C14" t="s">
        <v>7</v>
      </c>
      <c r="D14">
        <v>106.7</v>
      </c>
      <c r="E14">
        <v>10</v>
      </c>
    </row>
    <row r="15" spans="1:5" x14ac:dyDescent="0.25">
      <c r="A15" t="s">
        <v>13</v>
      </c>
      <c r="B15" t="s">
        <v>6</v>
      </c>
      <c r="C15" t="s">
        <v>8</v>
      </c>
      <c r="D15">
        <v>155.59</v>
      </c>
      <c r="E15">
        <v>9</v>
      </c>
    </row>
    <row r="16" spans="1:5" x14ac:dyDescent="0.25">
      <c r="A16" t="s">
        <v>13</v>
      </c>
      <c r="B16" t="s">
        <v>6</v>
      </c>
      <c r="C16" t="s">
        <v>9</v>
      </c>
      <c r="D16">
        <v>72.02</v>
      </c>
      <c r="E16">
        <v>7</v>
      </c>
    </row>
    <row r="17" spans="1:5" x14ac:dyDescent="0.25">
      <c r="A17" t="s">
        <v>14</v>
      </c>
      <c r="B17" t="s">
        <v>6</v>
      </c>
      <c r="C17" t="s">
        <v>7</v>
      </c>
      <c r="D17">
        <v>115.49</v>
      </c>
      <c r="E17">
        <v>9</v>
      </c>
    </row>
    <row r="18" spans="1:5" x14ac:dyDescent="0.25">
      <c r="A18" t="s">
        <v>14</v>
      </c>
      <c r="B18" t="s">
        <v>6</v>
      </c>
      <c r="C18" t="s">
        <v>8</v>
      </c>
      <c r="D18">
        <v>129.62</v>
      </c>
      <c r="E18">
        <v>7</v>
      </c>
    </row>
    <row r="19" spans="1:5" x14ac:dyDescent="0.25">
      <c r="A19" t="s">
        <v>14</v>
      </c>
      <c r="B19" t="s">
        <v>6</v>
      </c>
      <c r="C19" t="s">
        <v>9</v>
      </c>
      <c r="D19">
        <v>66.02</v>
      </c>
      <c r="E19">
        <v>7</v>
      </c>
    </row>
    <row r="20" spans="1:5" x14ac:dyDescent="0.25">
      <c r="A20" t="s">
        <v>15</v>
      </c>
      <c r="B20" t="s">
        <v>6</v>
      </c>
      <c r="C20" t="s">
        <v>7</v>
      </c>
      <c r="D20">
        <v>98.12</v>
      </c>
      <c r="E20">
        <v>8</v>
      </c>
    </row>
    <row r="21" spans="1:5" x14ac:dyDescent="0.25">
      <c r="A21" t="s">
        <v>15</v>
      </c>
      <c r="B21" t="s">
        <v>6</v>
      </c>
      <c r="C21" t="s">
        <v>8</v>
      </c>
      <c r="D21">
        <v>126.34</v>
      </c>
      <c r="E21">
        <v>9</v>
      </c>
    </row>
    <row r="22" spans="1:5" x14ac:dyDescent="0.25">
      <c r="A22" t="s">
        <v>15</v>
      </c>
      <c r="B22" t="s">
        <v>6</v>
      </c>
      <c r="C22" t="s">
        <v>9</v>
      </c>
      <c r="D22">
        <v>66.64</v>
      </c>
      <c r="E22">
        <v>6</v>
      </c>
    </row>
    <row r="23" spans="1:5" x14ac:dyDescent="0.25">
      <c r="A23" t="s">
        <v>16</v>
      </c>
      <c r="B23" t="s">
        <v>17</v>
      </c>
      <c r="C23" t="s">
        <v>7</v>
      </c>
      <c r="D23">
        <v>115.36</v>
      </c>
      <c r="E23">
        <v>14</v>
      </c>
    </row>
    <row r="24" spans="1:5" x14ac:dyDescent="0.25">
      <c r="A24" t="s">
        <v>16</v>
      </c>
      <c r="B24" t="s">
        <v>17</v>
      </c>
      <c r="C24" t="s">
        <v>8</v>
      </c>
      <c r="D24">
        <v>151.22999999999999</v>
      </c>
      <c r="E24">
        <v>7</v>
      </c>
    </row>
    <row r="25" spans="1:5" x14ac:dyDescent="0.25">
      <c r="A25" t="s">
        <v>16</v>
      </c>
      <c r="B25" t="s">
        <v>17</v>
      </c>
      <c r="C25" t="s">
        <v>9</v>
      </c>
      <c r="D25">
        <v>92.84</v>
      </c>
      <c r="E25">
        <v>7</v>
      </c>
    </row>
    <row r="26" spans="1:5" x14ac:dyDescent="0.25">
      <c r="A26" t="s">
        <v>18</v>
      </c>
      <c r="B26" t="s">
        <v>17</v>
      </c>
      <c r="C26" t="s">
        <v>7</v>
      </c>
      <c r="D26">
        <v>126.75</v>
      </c>
      <c r="E26">
        <v>13</v>
      </c>
    </row>
    <row r="27" spans="1:5" x14ac:dyDescent="0.25">
      <c r="A27" t="s">
        <v>18</v>
      </c>
      <c r="B27" t="s">
        <v>17</v>
      </c>
      <c r="C27" t="s">
        <v>8</v>
      </c>
      <c r="D27">
        <v>153.04</v>
      </c>
      <c r="E27">
        <v>8</v>
      </c>
    </row>
    <row r="28" spans="1:5" x14ac:dyDescent="0.25">
      <c r="A28" t="s">
        <v>18</v>
      </c>
      <c r="B28" t="s">
        <v>17</v>
      </c>
      <c r="C28" t="s">
        <v>9</v>
      </c>
      <c r="D28">
        <v>78.569999999999993</v>
      </c>
      <c r="E28">
        <v>6</v>
      </c>
    </row>
    <row r="29" spans="1:5" x14ac:dyDescent="0.25">
      <c r="A29" t="s">
        <v>19</v>
      </c>
      <c r="B29" t="s">
        <v>17</v>
      </c>
      <c r="C29" t="s">
        <v>7</v>
      </c>
      <c r="D29">
        <v>117.02</v>
      </c>
      <c r="E29">
        <v>12</v>
      </c>
    </row>
    <row r="30" spans="1:5" x14ac:dyDescent="0.25">
      <c r="A30" t="s">
        <v>19</v>
      </c>
      <c r="B30" t="s">
        <v>17</v>
      </c>
      <c r="C30" t="s">
        <v>8</v>
      </c>
      <c r="D30">
        <v>147.11000000000001</v>
      </c>
      <c r="E30">
        <v>9</v>
      </c>
    </row>
    <row r="31" spans="1:5" x14ac:dyDescent="0.25">
      <c r="A31" t="s">
        <v>19</v>
      </c>
      <c r="B31" t="s">
        <v>17</v>
      </c>
      <c r="C31" t="s">
        <v>9</v>
      </c>
      <c r="D31">
        <v>82.2</v>
      </c>
      <c r="E31">
        <v>7</v>
      </c>
    </row>
    <row r="32" spans="1:5" x14ac:dyDescent="0.25">
      <c r="A32" t="s">
        <v>20</v>
      </c>
      <c r="B32" t="s">
        <v>17</v>
      </c>
      <c r="C32" t="s">
        <v>7</v>
      </c>
      <c r="D32">
        <v>106.75</v>
      </c>
      <c r="E32">
        <v>12</v>
      </c>
    </row>
    <row r="33" spans="1:5" x14ac:dyDescent="0.25">
      <c r="A33" t="s">
        <v>20</v>
      </c>
      <c r="B33" t="s">
        <v>17</v>
      </c>
      <c r="C33" t="s">
        <v>8</v>
      </c>
      <c r="D33">
        <v>151.71</v>
      </c>
      <c r="E33">
        <v>8</v>
      </c>
    </row>
    <row r="34" spans="1:5" x14ac:dyDescent="0.25">
      <c r="A34" t="s">
        <v>20</v>
      </c>
      <c r="B34" t="s">
        <v>17</v>
      </c>
      <c r="C34" t="s">
        <v>9</v>
      </c>
      <c r="D34">
        <v>91.86</v>
      </c>
      <c r="E34">
        <v>7</v>
      </c>
    </row>
    <row r="35" spans="1:5" x14ac:dyDescent="0.25">
      <c r="A35" t="s">
        <v>21</v>
      </c>
      <c r="B35" t="s">
        <v>17</v>
      </c>
      <c r="C35" t="s">
        <v>7</v>
      </c>
      <c r="D35">
        <v>118.05</v>
      </c>
      <c r="E35">
        <v>12</v>
      </c>
    </row>
    <row r="36" spans="1:5" x14ac:dyDescent="0.25">
      <c r="A36" t="s">
        <v>21</v>
      </c>
      <c r="B36" t="s">
        <v>17</v>
      </c>
      <c r="C36" t="s">
        <v>8</v>
      </c>
      <c r="D36">
        <v>159.01</v>
      </c>
      <c r="E36">
        <v>7</v>
      </c>
    </row>
    <row r="37" spans="1:5" x14ac:dyDescent="0.25">
      <c r="A37" t="s">
        <v>21</v>
      </c>
      <c r="B37" t="s">
        <v>17</v>
      </c>
      <c r="C37" t="s">
        <v>9</v>
      </c>
      <c r="D37">
        <v>79.69</v>
      </c>
      <c r="E37">
        <v>5</v>
      </c>
    </row>
    <row r="38" spans="1:5" x14ac:dyDescent="0.25">
      <c r="A38" t="s">
        <v>22</v>
      </c>
      <c r="B38" t="s">
        <v>17</v>
      </c>
      <c r="C38" t="s">
        <v>7</v>
      </c>
      <c r="D38">
        <v>101.11</v>
      </c>
      <c r="E38">
        <v>13</v>
      </c>
    </row>
    <row r="39" spans="1:5" x14ac:dyDescent="0.25">
      <c r="A39" t="s">
        <v>22</v>
      </c>
      <c r="B39" t="s">
        <v>17</v>
      </c>
      <c r="C39" t="s">
        <v>8</v>
      </c>
      <c r="D39">
        <v>136.5</v>
      </c>
      <c r="E39">
        <v>7</v>
      </c>
    </row>
    <row r="40" spans="1:5" x14ac:dyDescent="0.25">
      <c r="A40" t="s">
        <v>22</v>
      </c>
      <c r="B40" t="s">
        <v>17</v>
      </c>
      <c r="C40" t="s">
        <v>9</v>
      </c>
      <c r="D40">
        <v>76.13</v>
      </c>
      <c r="E40">
        <v>6</v>
      </c>
    </row>
    <row r="41" spans="1:5" x14ac:dyDescent="0.25">
      <c r="A41" t="s">
        <v>23</v>
      </c>
      <c r="B41" t="s">
        <v>17</v>
      </c>
      <c r="C41" t="s">
        <v>7</v>
      </c>
      <c r="D41">
        <v>114.2</v>
      </c>
      <c r="E41">
        <v>11</v>
      </c>
    </row>
    <row r="42" spans="1:5" x14ac:dyDescent="0.25">
      <c r="A42" t="s">
        <v>23</v>
      </c>
      <c r="B42" t="s">
        <v>17</v>
      </c>
      <c r="C42" t="s">
        <v>8</v>
      </c>
      <c r="D42">
        <v>139.80000000000001</v>
      </c>
      <c r="E42">
        <v>6</v>
      </c>
    </row>
    <row r="43" spans="1:5" x14ac:dyDescent="0.25">
      <c r="A43" t="s">
        <v>23</v>
      </c>
      <c r="B43" t="s">
        <v>17</v>
      </c>
      <c r="C43" t="s">
        <v>9</v>
      </c>
      <c r="D43">
        <v>76.53</v>
      </c>
      <c r="E43">
        <v>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F7555-CA03-4B24-B0D2-E4AF6B9F9FCF}">
  <dimension ref="A3:G26"/>
  <sheetViews>
    <sheetView tabSelected="1" workbookViewId="0">
      <selection activeCell="D27" sqref="D27"/>
    </sheetView>
  </sheetViews>
  <sheetFormatPr defaultRowHeight="15" x14ac:dyDescent="0.25"/>
  <cols>
    <col min="1" max="1" width="22.85546875" customWidth="1"/>
    <col min="2" max="2" width="30.42578125" customWidth="1"/>
    <col min="3" max="3" width="12.5703125" bestFit="1" customWidth="1"/>
    <col min="4" max="4" width="24" customWidth="1"/>
    <col min="5" max="5" width="29.7109375" customWidth="1"/>
    <col min="6" max="6" width="18.28515625" bestFit="1" customWidth="1"/>
    <col min="7" max="7" width="17.7109375" bestFit="1" customWidth="1"/>
    <col min="8" max="8" width="18.28515625" bestFit="1" customWidth="1"/>
    <col min="9" max="9" width="17.7109375" bestFit="1" customWidth="1"/>
  </cols>
  <sheetData>
    <row r="3" spans="1:7" x14ac:dyDescent="0.25">
      <c r="B3" s="2" t="s">
        <v>26</v>
      </c>
    </row>
    <row r="4" spans="1:7" x14ac:dyDescent="0.25">
      <c r="B4" t="s">
        <v>6</v>
      </c>
      <c r="D4" t="s">
        <v>17</v>
      </c>
      <c r="F4" t="s">
        <v>28</v>
      </c>
      <c r="G4" t="s">
        <v>29</v>
      </c>
    </row>
    <row r="5" spans="1:7" x14ac:dyDescent="0.25">
      <c r="A5" s="2" t="s">
        <v>24</v>
      </c>
      <c r="B5" t="s">
        <v>27</v>
      </c>
      <c r="C5" t="s">
        <v>30</v>
      </c>
      <c r="D5" t="s">
        <v>27</v>
      </c>
      <c r="E5" t="s">
        <v>30</v>
      </c>
    </row>
    <row r="6" spans="1:7" x14ac:dyDescent="0.25">
      <c r="A6" s="3" t="s">
        <v>8</v>
      </c>
      <c r="B6">
        <v>1022.2200000000001</v>
      </c>
      <c r="C6">
        <v>59</v>
      </c>
      <c r="D6">
        <v>1038.4000000000001</v>
      </c>
      <c r="E6">
        <v>52</v>
      </c>
      <c r="F6">
        <v>2060.6200000000003</v>
      </c>
      <c r="G6">
        <v>111</v>
      </c>
    </row>
    <row r="7" spans="1:7" x14ac:dyDescent="0.25">
      <c r="A7" s="3" t="s">
        <v>7</v>
      </c>
      <c r="B7">
        <v>770.91</v>
      </c>
      <c r="C7">
        <v>68</v>
      </c>
      <c r="D7">
        <v>799.24</v>
      </c>
      <c r="E7">
        <v>87</v>
      </c>
      <c r="F7">
        <v>1570.15</v>
      </c>
      <c r="G7">
        <v>155</v>
      </c>
    </row>
    <row r="8" spans="1:7" x14ac:dyDescent="0.25">
      <c r="A8" s="3" t="s">
        <v>9</v>
      </c>
      <c r="B8">
        <v>487.22999999999996</v>
      </c>
      <c r="C8">
        <v>44</v>
      </c>
      <c r="D8">
        <v>577.82000000000005</v>
      </c>
      <c r="E8">
        <v>43</v>
      </c>
      <c r="F8">
        <v>1065.05</v>
      </c>
      <c r="G8">
        <v>87</v>
      </c>
    </row>
    <row r="9" spans="1:7" x14ac:dyDescent="0.25">
      <c r="A9" s="3" t="s">
        <v>25</v>
      </c>
      <c r="B9">
        <v>2280.36</v>
      </c>
      <c r="C9">
        <v>171</v>
      </c>
      <c r="D9">
        <v>2415.46</v>
      </c>
      <c r="E9">
        <v>182</v>
      </c>
      <c r="F9">
        <v>4695.8200000000006</v>
      </c>
      <c r="G9">
        <v>353</v>
      </c>
    </row>
    <row r="12" spans="1:7" x14ac:dyDescent="0.25">
      <c r="A12" s="4" t="s">
        <v>36</v>
      </c>
      <c r="B12" s="4" t="s">
        <v>31</v>
      </c>
      <c r="C12" s="4" t="s">
        <v>32</v>
      </c>
    </row>
    <row r="13" spans="1:7" x14ac:dyDescent="0.25">
      <c r="A13" s="3" t="s">
        <v>8</v>
      </c>
      <c r="B13" s="8">
        <f>B6/C6</f>
        <v>17.32576271186441</v>
      </c>
      <c r="C13" s="8">
        <f>D6/E6</f>
        <v>19.969230769230769</v>
      </c>
    </row>
    <row r="14" spans="1:7" x14ac:dyDescent="0.25">
      <c r="A14" s="3" t="s">
        <v>7</v>
      </c>
      <c r="B14" s="8">
        <f>B7/C7</f>
        <v>11.336911764705881</v>
      </c>
      <c r="C14" s="8">
        <f>D7/E7</f>
        <v>9.1866666666666674</v>
      </c>
    </row>
    <row r="15" spans="1:7" x14ac:dyDescent="0.25">
      <c r="A15" s="3" t="s">
        <v>9</v>
      </c>
      <c r="B15" s="8">
        <f>B8/C8</f>
        <v>11.07340909090909</v>
      </c>
      <c r="C15" s="8">
        <f>D8/E8</f>
        <v>13.437674418604653</v>
      </c>
    </row>
    <row r="17" spans="1:4" x14ac:dyDescent="0.25">
      <c r="A17" s="4" t="s">
        <v>36</v>
      </c>
      <c r="B17" s="4" t="s">
        <v>33</v>
      </c>
      <c r="C17" s="4" t="s">
        <v>34</v>
      </c>
      <c r="D17" s="4" t="s">
        <v>35</v>
      </c>
    </row>
    <row r="18" spans="1:4" x14ac:dyDescent="0.25">
      <c r="A18" s="3" t="s">
        <v>8</v>
      </c>
      <c r="B18" s="6">
        <f>(D6 - B6) / B6</f>
        <v>1.582829527890273E-2</v>
      </c>
      <c r="C18" s="9">
        <f>(E6-C6) / C6</f>
        <v>-0.11864406779661017</v>
      </c>
      <c r="D18" s="5">
        <f>(C13-B13) / B13</f>
        <v>0.15257441195106256</v>
      </c>
    </row>
    <row r="19" spans="1:4" x14ac:dyDescent="0.25">
      <c r="A19" s="3" t="s">
        <v>7</v>
      </c>
      <c r="B19" s="5">
        <f>(D7 - B7) / B7</f>
        <v>3.674877741889461E-2</v>
      </c>
      <c r="C19" s="5">
        <f>(E7-C7) /  C7</f>
        <v>0.27941176470588236</v>
      </c>
      <c r="D19" s="9">
        <f>(C14-B14)/ B14</f>
        <v>-0.18966762224730069</v>
      </c>
    </row>
    <row r="20" spans="1:4" x14ac:dyDescent="0.25">
      <c r="A20" s="3" t="s">
        <v>9</v>
      </c>
      <c r="B20" s="5">
        <f>(D8 - B8) / B8</f>
        <v>0.18592861687498738</v>
      </c>
      <c r="C20" s="9">
        <f>(E8-C8) / C8</f>
        <v>-2.2727272727272728E-2</v>
      </c>
      <c r="D20" s="5">
        <f>(C15-B15) / B15</f>
        <v>0.21350835215114991</v>
      </c>
    </row>
    <row r="22" spans="1:4" x14ac:dyDescent="0.25">
      <c r="A22" s="7" t="s">
        <v>37</v>
      </c>
      <c r="B22" s="11" t="s">
        <v>39</v>
      </c>
      <c r="C22" s="11"/>
      <c r="D22" s="11"/>
    </row>
    <row r="23" spans="1:4" x14ac:dyDescent="0.25">
      <c r="B23" s="10" t="s">
        <v>40</v>
      </c>
      <c r="C23" s="10"/>
      <c r="D23" s="10"/>
    </row>
    <row r="24" spans="1:4" x14ac:dyDescent="0.25">
      <c r="A24" s="7"/>
    </row>
    <row r="25" spans="1:4" x14ac:dyDescent="0.25">
      <c r="A25" s="7" t="s">
        <v>38</v>
      </c>
      <c r="B25" s="12" t="s">
        <v>41</v>
      </c>
      <c r="C25" s="12"/>
      <c r="D25" s="12"/>
    </row>
    <row r="26" spans="1:4" x14ac:dyDescent="0.25">
      <c r="B26" s="12" t="s">
        <v>42</v>
      </c>
      <c r="C26" s="12"/>
      <c r="D26" s="12"/>
    </row>
  </sheetData>
  <mergeCells count="2">
    <mergeCell ref="B23:D23"/>
    <mergeCell ref="B22:D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REPORTING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Andreas Michalakis</cp:lastModifiedBy>
  <dcterms:created xsi:type="dcterms:W3CDTF">2026-01-15T18:51:05Z</dcterms:created>
  <dcterms:modified xsi:type="dcterms:W3CDTF">2026-01-15T19:52:00Z</dcterms:modified>
</cp:coreProperties>
</file>